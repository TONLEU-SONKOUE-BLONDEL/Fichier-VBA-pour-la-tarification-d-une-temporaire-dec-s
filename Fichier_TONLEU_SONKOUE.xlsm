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15" windowWidth="16275" windowHeight="7470"/>
  </bookViews>
  <sheets>
    <sheet name="Feuil1" sheetId="1" r:id="rId1"/>
    <sheet name="TD" sheetId="5" r:id="rId2"/>
    <sheet name="Feuil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E108" i="5" l="1"/>
  <c r="D108" i="5"/>
  <c r="C108" i="5"/>
  <c r="D107" i="5"/>
  <c r="E107" i="5" s="1"/>
  <c r="C107" i="5"/>
  <c r="D106" i="5"/>
  <c r="E106" i="5" s="1"/>
  <c r="C106" i="5"/>
  <c r="D105" i="5"/>
  <c r="E105" i="5" s="1"/>
  <c r="C105" i="5"/>
  <c r="D104" i="5"/>
  <c r="E104" i="5" s="1"/>
  <c r="C104" i="5"/>
  <c r="D103" i="5"/>
  <c r="E103" i="5" s="1"/>
  <c r="C103" i="5"/>
  <c r="D102" i="5"/>
  <c r="E102" i="5" s="1"/>
  <c r="C102" i="5"/>
  <c r="D101" i="5"/>
  <c r="E101" i="5" s="1"/>
  <c r="C101" i="5"/>
  <c r="D100" i="5"/>
  <c r="E100" i="5" s="1"/>
  <c r="C100" i="5"/>
  <c r="D99" i="5"/>
  <c r="E99" i="5" s="1"/>
  <c r="C99" i="5"/>
  <c r="D98" i="5"/>
  <c r="E98" i="5" s="1"/>
  <c r="C98" i="5"/>
  <c r="D97" i="5"/>
  <c r="E97" i="5" s="1"/>
  <c r="C97" i="5"/>
  <c r="D96" i="5"/>
  <c r="E96" i="5" s="1"/>
  <c r="C96" i="5"/>
  <c r="D95" i="5"/>
  <c r="E95" i="5" s="1"/>
  <c r="C95" i="5"/>
  <c r="D94" i="5"/>
  <c r="E94" i="5" s="1"/>
  <c r="C94" i="5"/>
  <c r="D93" i="5"/>
  <c r="E93" i="5" s="1"/>
  <c r="C93" i="5"/>
  <c r="D92" i="5"/>
  <c r="E92" i="5" s="1"/>
  <c r="C92" i="5"/>
  <c r="D91" i="5"/>
  <c r="E91" i="5" s="1"/>
  <c r="C91" i="5"/>
  <c r="D90" i="5"/>
  <c r="E90" i="5" s="1"/>
  <c r="C90" i="5"/>
  <c r="D89" i="5"/>
  <c r="E89" i="5" s="1"/>
  <c r="C89" i="5"/>
  <c r="D88" i="5"/>
  <c r="E88" i="5" s="1"/>
  <c r="C88" i="5"/>
  <c r="D87" i="5"/>
  <c r="E87" i="5" s="1"/>
  <c r="C87" i="5"/>
  <c r="D86" i="5"/>
  <c r="E86" i="5" s="1"/>
  <c r="C86" i="5"/>
  <c r="D85" i="5"/>
  <c r="E85" i="5" s="1"/>
  <c r="C85" i="5"/>
  <c r="D84" i="5"/>
  <c r="E84" i="5" s="1"/>
  <c r="C84" i="5"/>
  <c r="D83" i="5"/>
  <c r="E83" i="5" s="1"/>
  <c r="C83" i="5"/>
  <c r="D82" i="5"/>
  <c r="E82" i="5" s="1"/>
  <c r="C82" i="5"/>
  <c r="D81" i="5"/>
  <c r="E81" i="5" s="1"/>
  <c r="C81" i="5"/>
  <c r="D80" i="5"/>
  <c r="E80" i="5" s="1"/>
  <c r="C80" i="5"/>
  <c r="D79" i="5"/>
  <c r="E79" i="5" s="1"/>
  <c r="C79" i="5"/>
  <c r="D78" i="5"/>
  <c r="E78" i="5" s="1"/>
  <c r="C78" i="5"/>
  <c r="D77" i="5"/>
  <c r="E77" i="5" s="1"/>
  <c r="C77" i="5"/>
  <c r="D76" i="5"/>
  <c r="E76" i="5" s="1"/>
  <c r="C76" i="5"/>
  <c r="D75" i="5"/>
  <c r="E75" i="5" s="1"/>
  <c r="C75" i="5"/>
  <c r="D74" i="5"/>
  <c r="E74" i="5" s="1"/>
  <c r="C74" i="5"/>
  <c r="D73" i="5"/>
  <c r="E73" i="5" s="1"/>
  <c r="C73" i="5"/>
  <c r="D72" i="5"/>
  <c r="E72" i="5" s="1"/>
  <c r="C72" i="5"/>
  <c r="D71" i="5"/>
  <c r="E71" i="5" s="1"/>
  <c r="C71" i="5"/>
  <c r="D70" i="5"/>
  <c r="E70" i="5" s="1"/>
  <c r="C70" i="5"/>
  <c r="D69" i="5"/>
  <c r="E69" i="5" s="1"/>
  <c r="C69" i="5"/>
  <c r="D68" i="5"/>
  <c r="E68" i="5" s="1"/>
  <c r="C68" i="5"/>
  <c r="D67" i="5"/>
  <c r="E67" i="5" s="1"/>
  <c r="C67" i="5"/>
  <c r="D66" i="5"/>
  <c r="E66" i="5" s="1"/>
  <c r="C66" i="5"/>
  <c r="D65" i="5"/>
  <c r="E65" i="5" s="1"/>
  <c r="C65" i="5"/>
  <c r="D64" i="5"/>
  <c r="E64" i="5" s="1"/>
  <c r="C64" i="5"/>
  <c r="D63" i="5"/>
  <c r="E63" i="5" s="1"/>
  <c r="C63" i="5"/>
  <c r="D62" i="5"/>
  <c r="E62" i="5" s="1"/>
  <c r="C62" i="5"/>
  <c r="D61" i="5"/>
  <c r="E61" i="5" s="1"/>
  <c r="C61" i="5"/>
  <c r="D60" i="5"/>
  <c r="E60" i="5" s="1"/>
  <c r="C60" i="5"/>
  <c r="D59" i="5"/>
  <c r="E59" i="5" s="1"/>
  <c r="C59" i="5"/>
  <c r="D58" i="5"/>
  <c r="E58" i="5" s="1"/>
  <c r="C58" i="5"/>
  <c r="D57" i="5"/>
  <c r="E57" i="5" s="1"/>
  <c r="C57" i="5"/>
  <c r="D56" i="5"/>
  <c r="E56" i="5" s="1"/>
  <c r="C56" i="5"/>
  <c r="D55" i="5"/>
  <c r="E55" i="5" s="1"/>
  <c r="C55" i="5"/>
  <c r="D54" i="5"/>
  <c r="E54" i="5" s="1"/>
  <c r="C54" i="5"/>
  <c r="D53" i="5"/>
  <c r="E53" i="5" s="1"/>
  <c r="C53" i="5"/>
  <c r="D52" i="5"/>
  <c r="E52" i="5" s="1"/>
  <c r="C52" i="5"/>
  <c r="D51" i="5"/>
  <c r="E51" i="5" s="1"/>
  <c r="C51" i="5"/>
  <c r="D50" i="5"/>
  <c r="E50" i="5" s="1"/>
  <c r="C50" i="5"/>
  <c r="D49" i="5"/>
  <c r="E49" i="5" s="1"/>
  <c r="C49" i="5"/>
  <c r="D48" i="5"/>
  <c r="E48" i="5" s="1"/>
  <c r="C48" i="5"/>
  <c r="D47" i="5"/>
  <c r="E47" i="5" s="1"/>
  <c r="C47" i="5"/>
  <c r="D46" i="5"/>
  <c r="E46" i="5" s="1"/>
  <c r="C46" i="5"/>
  <c r="D45" i="5"/>
  <c r="E45" i="5" s="1"/>
  <c r="C45" i="5"/>
  <c r="D44" i="5"/>
  <c r="E44" i="5" s="1"/>
  <c r="C44" i="5"/>
  <c r="D43" i="5"/>
  <c r="E43" i="5" s="1"/>
  <c r="C43" i="5"/>
  <c r="D42" i="5"/>
  <c r="E42" i="5" s="1"/>
  <c r="C42" i="5"/>
  <c r="D41" i="5"/>
  <c r="E41" i="5" s="1"/>
  <c r="C41" i="5"/>
  <c r="D40" i="5"/>
  <c r="E40" i="5" s="1"/>
  <c r="C40" i="5"/>
  <c r="D39" i="5"/>
  <c r="E39" i="5" s="1"/>
  <c r="C39" i="5"/>
  <c r="D38" i="5"/>
  <c r="E38" i="5" s="1"/>
  <c r="C38" i="5"/>
  <c r="D37" i="5"/>
  <c r="E37" i="5" s="1"/>
  <c r="C37" i="5"/>
  <c r="D36" i="5"/>
  <c r="E36" i="5" s="1"/>
  <c r="C36" i="5"/>
  <c r="D35" i="5"/>
  <c r="E35" i="5" s="1"/>
  <c r="C35" i="5"/>
  <c r="D34" i="5"/>
  <c r="E34" i="5" s="1"/>
  <c r="C34" i="5"/>
  <c r="D33" i="5"/>
  <c r="E33" i="5" s="1"/>
  <c r="C33" i="5"/>
  <c r="D32" i="5"/>
  <c r="E32" i="5" s="1"/>
  <c r="C32" i="5"/>
  <c r="D31" i="5"/>
  <c r="E31" i="5" s="1"/>
  <c r="C31" i="5"/>
  <c r="D30" i="5"/>
  <c r="E30" i="5" s="1"/>
  <c r="C30" i="5"/>
  <c r="D29" i="5"/>
  <c r="E29" i="5" s="1"/>
  <c r="C29" i="5"/>
  <c r="D28" i="5"/>
  <c r="E28" i="5" s="1"/>
  <c r="C28" i="5"/>
  <c r="D27" i="5"/>
  <c r="E27" i="5" s="1"/>
  <c r="C27" i="5"/>
  <c r="D26" i="5"/>
  <c r="E26" i="5" s="1"/>
  <c r="C26" i="5"/>
  <c r="D25" i="5"/>
  <c r="E25" i="5" s="1"/>
  <c r="C25" i="5"/>
  <c r="D24" i="5"/>
  <c r="E24" i="5" s="1"/>
  <c r="C24" i="5"/>
  <c r="D23" i="5"/>
  <c r="E23" i="5" s="1"/>
  <c r="C23" i="5"/>
  <c r="D22" i="5"/>
  <c r="E22" i="5" s="1"/>
  <c r="C22" i="5"/>
  <c r="D21" i="5"/>
  <c r="E21" i="5" s="1"/>
  <c r="C21" i="5"/>
  <c r="D20" i="5"/>
  <c r="E20" i="5" s="1"/>
  <c r="C20" i="5"/>
  <c r="D19" i="5"/>
  <c r="E19" i="5" s="1"/>
  <c r="C19" i="5"/>
  <c r="D18" i="5"/>
  <c r="E18" i="5" s="1"/>
  <c r="C18" i="5"/>
  <c r="D17" i="5"/>
  <c r="E17" i="5" s="1"/>
  <c r="C17" i="5"/>
  <c r="D16" i="5"/>
  <c r="E16" i="5" s="1"/>
  <c r="C16" i="5"/>
  <c r="D15" i="5"/>
  <c r="E15" i="5" s="1"/>
  <c r="C15" i="5"/>
  <c r="D14" i="5"/>
  <c r="E14" i="5" s="1"/>
  <c r="C14" i="5"/>
  <c r="D13" i="5"/>
  <c r="E13" i="5" s="1"/>
  <c r="C13" i="5"/>
  <c r="D12" i="5"/>
  <c r="E12" i="5" s="1"/>
  <c r="C12" i="5"/>
  <c r="D11" i="5"/>
  <c r="E11" i="5" s="1"/>
  <c r="C11" i="5"/>
  <c r="D10" i="5"/>
  <c r="E10" i="5" s="1"/>
  <c r="C10" i="5"/>
  <c r="E9" i="5"/>
  <c r="D9" i="5"/>
  <c r="C9" i="5"/>
  <c r="D8" i="5"/>
  <c r="E8" i="5" s="1"/>
  <c r="C8" i="5"/>
  <c r="D7" i="5"/>
  <c r="E7" i="5" s="1"/>
  <c r="C7" i="5"/>
  <c r="D6" i="5"/>
  <c r="E6" i="5" s="1"/>
  <c r="C6" i="5"/>
  <c r="D5" i="5"/>
  <c r="E5" i="5" s="1"/>
  <c r="C5" i="5"/>
  <c r="D4" i="5"/>
  <c r="E4" i="5" s="1"/>
  <c r="C4" i="5"/>
  <c r="D3" i="5"/>
  <c r="E3" i="5" s="1"/>
  <c r="C3" i="5"/>
  <c r="D2" i="5"/>
  <c r="E2" i="5" s="1"/>
  <c r="C2" i="5"/>
  <c r="G2" i="1" l="1"/>
  <c r="C13" i="1"/>
  <c r="C12" i="1"/>
  <c r="H12" i="1"/>
  <c r="C14" i="1" l="1"/>
  <c r="H14" i="1"/>
  <c r="H13" i="1"/>
</calcChain>
</file>

<file path=xl/comments1.xml><?xml version="1.0" encoding="utf-8"?>
<comments xmlns="http://schemas.openxmlformats.org/spreadsheetml/2006/main">
  <authors>
    <author>bc</author>
  </authors>
  <commentList>
    <comment ref="C12" authorId="0">
      <text>
        <r>
          <rPr>
            <b/>
            <sz val="9"/>
            <color indexed="81"/>
            <rFont val="Tahoma"/>
            <family val="2"/>
          </rPr>
          <t>Je calcul la prime pure unique en prenant comme paramètre l'age, le montant garantie et la durée. Je crée une fonction Prime_unique_pure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" authorId="0">
      <text>
        <r>
          <rPr>
            <b/>
            <sz val="9"/>
            <color indexed="81"/>
            <rFont val="Tahoma"/>
            <family val="2"/>
          </rPr>
          <t>Ici je calcul la prime pure annuelle. Pour cela je crée une fonction appélé prime pure Annuelle</t>
        </r>
      </text>
    </comment>
  </commentList>
</comments>
</file>

<file path=xl/sharedStrings.xml><?xml version="1.0" encoding="utf-8"?>
<sst xmlns="http://schemas.openxmlformats.org/spreadsheetml/2006/main" count="35" uniqueCount="32">
  <si>
    <t>Date de naissance</t>
  </si>
  <si>
    <t>Conditions de couverture</t>
  </si>
  <si>
    <t>Conditions de paiement Prime</t>
  </si>
  <si>
    <t>Effet Couverture</t>
  </si>
  <si>
    <t>périodicité Prime</t>
  </si>
  <si>
    <t>Montant</t>
  </si>
  <si>
    <t>dx</t>
  </si>
  <si>
    <t>px</t>
  </si>
  <si>
    <t>qx</t>
  </si>
  <si>
    <t>Age</t>
  </si>
  <si>
    <t>x</t>
  </si>
  <si>
    <t>Mensuel</t>
  </si>
  <si>
    <t>Trimestriel</t>
  </si>
  <si>
    <t>Semestriel</t>
  </si>
  <si>
    <t>Annuel</t>
  </si>
  <si>
    <t>Taux de frais de gestion sur primes</t>
  </si>
  <si>
    <t>Taux de frais d’acquisition</t>
  </si>
  <si>
    <t>Montant garantie</t>
  </si>
  <si>
    <t>Prime unique commerciale</t>
  </si>
  <si>
    <t>Libéllé prime unique</t>
  </si>
  <si>
    <t>Prime unique pure</t>
  </si>
  <si>
    <t>Prime unique d'inventaire</t>
  </si>
  <si>
    <t>Evaluation de la prime unique</t>
  </si>
  <si>
    <t>Evaluation des primes Annuelles</t>
  </si>
  <si>
    <t>Prime annuelle pure</t>
  </si>
  <si>
    <t>Prime annuelle d'inventaire</t>
  </si>
  <si>
    <t>Prime annuelle commerciale</t>
  </si>
  <si>
    <t>Durée en année(n)</t>
  </si>
  <si>
    <t>Durée Paiement en année (p)</t>
  </si>
  <si>
    <t>TD</t>
  </si>
  <si>
    <t>Interêt technique</t>
  </si>
  <si>
    <t>Frais de gestion de contrat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</si>
</sst>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_-* #,##0\ _€_-;\-* #,##0\ _€_-;_-* &quot;-&quot;??\ _€_-;_-@_-"/>
    <numFmt numFmtId="165" formatCode="0.0000000000000"/>
    <numFmt numFmtId="166" formatCode="#,##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sz val="8"/>
      <color rgb="FF000000"/>
      <name val="Arial"/>
      <family val="2"/>
    </font>
    <font>
      <sz val="11"/>
      <color theme="1"/>
      <name val="Calibri"/>
      <family val="2"/>
    </font>
    <font>
      <sz val="8"/>
      <color rgb="FF1F497D"/>
      <name val="Arial"/>
      <family val="2"/>
    </font>
    <font>
      <sz val="12"/>
      <color theme="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1869B"/>
        <bgColor rgb="FF000000"/>
      </patternFill>
    </fill>
    <fill>
      <patternFill patternType="solid">
        <fgColor rgb="FFFFFFCC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Border="1"/>
    <xf numFmtId="0" fontId="2" fillId="0" borderId="0" xfId="0" applyFont="1" applyBorder="1"/>
    <xf numFmtId="164" fontId="2" fillId="0" borderId="0" xfId="1" applyNumberFormat="1" applyFont="1" applyBorder="1"/>
    <xf numFmtId="14" fontId="2" fillId="0" borderId="0" xfId="0" applyNumberFormat="1" applyFont="1" applyBorder="1"/>
    <xf numFmtId="0" fontId="4" fillId="5" borderId="1" xfId="0" applyFont="1" applyFill="1" applyBorder="1" applyAlignment="1">
      <alignment horizontal="center" vertical="center"/>
    </xf>
    <xf numFmtId="0" fontId="5" fillId="0" borderId="0" xfId="0" applyNumberFormat="1" applyFont="1" applyFill="1" applyBorder="1"/>
    <xf numFmtId="3" fontId="6" fillId="0" borderId="2" xfId="0" applyNumberFormat="1" applyFont="1" applyFill="1" applyBorder="1" applyAlignment="1">
      <alignment horizontal="center" vertical="center"/>
    </xf>
    <xf numFmtId="165" fontId="5" fillId="0" borderId="0" xfId="2" applyNumberFormat="1" applyFont="1" applyFill="1" applyBorder="1"/>
    <xf numFmtId="166" fontId="5" fillId="0" borderId="0" xfId="0" applyNumberFormat="1" applyFont="1" applyFill="1" applyBorder="1"/>
    <xf numFmtId="0" fontId="5" fillId="5" borderId="1" xfId="0" applyFont="1" applyFill="1" applyBorder="1"/>
    <xf numFmtId="0" fontId="4" fillId="6" borderId="2" xfId="0" applyFont="1" applyFill="1" applyBorder="1" applyAlignment="1">
      <alignment horizontal="center" vertical="center"/>
    </xf>
    <xf numFmtId="0" fontId="7" fillId="0" borderId="0" xfId="0" applyFont="1"/>
    <xf numFmtId="0" fontId="2" fillId="3" borderId="0" xfId="1" applyNumberFormat="1" applyFont="1" applyFill="1" applyBorder="1"/>
    <xf numFmtId="0" fontId="2" fillId="0" borderId="0" xfId="0" applyFont="1" applyFill="1" applyBorder="1"/>
    <xf numFmtId="0" fontId="0" fillId="0" borderId="0" xfId="0" applyNumberFormat="1" applyBorder="1"/>
    <xf numFmtId="164" fontId="0" fillId="0" borderId="0" xfId="0" applyNumberFormat="1" applyBorder="1"/>
    <xf numFmtId="43" fontId="0" fillId="0" borderId="0" xfId="1" applyFont="1"/>
    <xf numFmtId="2" fontId="0" fillId="0" borderId="0" xfId="0" applyNumberFormat="1"/>
    <xf numFmtId="0" fontId="3" fillId="2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right"/>
    </xf>
    <xf numFmtId="0" fontId="10" fillId="0" borderId="0" xfId="0" applyFont="1" applyBorder="1" applyAlignment="1">
      <alignment horizontal="left"/>
    </xf>
    <xf numFmtId="0" fontId="11" fillId="0" borderId="0" xfId="0" applyFont="1" applyAlignment="1">
      <alignment horizontal="left" wrapText="1"/>
    </xf>
    <xf numFmtId="0" fontId="12" fillId="0" borderId="0" xfId="0" applyFont="1" applyBorder="1"/>
    <xf numFmtId="0" fontId="10" fillId="0" borderId="0" xfId="0" applyFont="1" applyBorder="1"/>
    <xf numFmtId="0" fontId="11" fillId="0" borderId="0" xfId="0" applyFont="1" applyAlignment="1">
      <alignment wrapText="1"/>
    </xf>
    <xf numFmtId="10" fontId="0" fillId="0" borderId="0" xfId="0" applyNumberFormat="1" applyBorder="1"/>
    <xf numFmtId="2" fontId="0" fillId="0" borderId="0" xfId="0" applyNumberFormat="1" applyBorder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I21"/>
  <sheetViews>
    <sheetView showGridLines="0" tabSelected="1" zoomScaleNormal="100" workbookViewId="0">
      <selection activeCell="H5" sqref="H5"/>
    </sheetView>
  </sheetViews>
  <sheetFormatPr baseColWidth="10" defaultRowHeight="15" x14ac:dyDescent="0.25"/>
  <cols>
    <col min="2" max="2" width="15" customWidth="1"/>
    <col min="3" max="3" width="16.85546875" customWidth="1"/>
    <col min="5" max="5" width="2" customWidth="1"/>
    <col min="6" max="6" width="22" customWidth="1"/>
    <col min="7" max="7" width="15.5703125" customWidth="1"/>
    <col min="8" max="8" width="16" customWidth="1"/>
  </cols>
  <sheetData>
    <row r="1" spans="1:9" x14ac:dyDescent="0.25">
      <c r="A1" s="1"/>
      <c r="B1" s="1"/>
      <c r="C1" s="1"/>
      <c r="D1" s="1"/>
      <c r="E1" s="1"/>
      <c r="F1" s="1"/>
      <c r="G1" s="1"/>
      <c r="H1" s="1"/>
      <c r="I1" s="1"/>
    </row>
    <row r="2" spans="1:9" x14ac:dyDescent="0.25">
      <c r="A2" s="21" t="s">
        <v>0</v>
      </c>
      <c r="B2" s="21"/>
      <c r="C2" s="4">
        <v>29221</v>
      </c>
      <c r="D2" s="1"/>
      <c r="E2" s="1"/>
      <c r="F2" s="1" t="s">
        <v>9</v>
      </c>
      <c r="G2" s="2">
        <f ca="1">DATEDIF(C2,TODAY(),"y")</f>
        <v>43</v>
      </c>
      <c r="H2" s="1"/>
      <c r="I2" s="1"/>
    </row>
    <row r="3" spans="1:9" ht="17.25" x14ac:dyDescent="0.3">
      <c r="A3" s="19" t="s">
        <v>1</v>
      </c>
      <c r="B3" s="19"/>
      <c r="C3" s="19"/>
      <c r="D3" s="19"/>
      <c r="E3" s="1"/>
      <c r="F3" s="19" t="s">
        <v>2</v>
      </c>
      <c r="G3" s="19"/>
      <c r="H3" s="19"/>
      <c r="I3" s="19"/>
    </row>
    <row r="4" spans="1:9" x14ac:dyDescent="0.25">
      <c r="A4" s="23" t="s">
        <v>3</v>
      </c>
      <c r="B4" s="23"/>
      <c r="C4" s="4">
        <v>43831</v>
      </c>
      <c r="D4" s="1"/>
      <c r="E4" s="1"/>
      <c r="F4" s="26" t="s">
        <v>28</v>
      </c>
      <c r="G4" s="1"/>
      <c r="H4" s="2">
        <v>10</v>
      </c>
      <c r="I4" s="1"/>
    </row>
    <row r="5" spans="1:9" x14ac:dyDescent="0.25">
      <c r="A5" s="23" t="s">
        <v>27</v>
      </c>
      <c r="B5" s="23"/>
      <c r="C5" s="2">
        <v>10</v>
      </c>
      <c r="D5" s="1"/>
      <c r="E5" s="1"/>
      <c r="F5" s="26" t="s">
        <v>4</v>
      </c>
      <c r="G5" s="1"/>
      <c r="H5" s="22" t="s">
        <v>14</v>
      </c>
      <c r="I5" s="1"/>
    </row>
    <row r="6" spans="1:9" ht="31.5" x14ac:dyDescent="0.25">
      <c r="A6" s="23" t="s">
        <v>17</v>
      </c>
      <c r="B6" s="23"/>
      <c r="C6" s="13">
        <v>200000</v>
      </c>
      <c r="D6" s="1"/>
      <c r="E6" s="1"/>
      <c r="F6" s="27" t="s">
        <v>15</v>
      </c>
      <c r="G6" s="1"/>
      <c r="H6" s="2">
        <v>0.05</v>
      </c>
      <c r="I6" s="1"/>
    </row>
    <row r="7" spans="1:9" ht="42.75" customHeight="1" x14ac:dyDescent="0.25">
      <c r="A7" s="24" t="s">
        <v>16</v>
      </c>
      <c r="B7" s="24"/>
      <c r="C7" s="15">
        <v>0.06</v>
      </c>
      <c r="D7" s="1"/>
      <c r="E7" s="1"/>
      <c r="F7" s="12" t="s">
        <v>30</v>
      </c>
      <c r="G7" s="1"/>
      <c r="H7" s="28">
        <v>3.5000000000000003E-2</v>
      </c>
      <c r="I7" s="1"/>
    </row>
    <row r="8" spans="1:9" ht="42.75" customHeight="1" x14ac:dyDescent="0.25">
      <c r="A8" s="24" t="s">
        <v>31</v>
      </c>
      <c r="B8" s="24"/>
      <c r="C8" s="15">
        <v>1.5E-3</v>
      </c>
      <c r="D8" s="1"/>
      <c r="E8" s="1"/>
      <c r="F8" s="12"/>
      <c r="G8" s="1"/>
      <c r="H8" s="28"/>
      <c r="I8" s="1"/>
    </row>
    <row r="9" spans="1:9" ht="17.25" x14ac:dyDescent="0.3">
      <c r="A9" s="19" t="s">
        <v>22</v>
      </c>
      <c r="B9" s="19"/>
      <c r="C9" s="19"/>
      <c r="D9" s="19"/>
      <c r="E9" s="1"/>
      <c r="F9" s="19" t="s">
        <v>23</v>
      </c>
      <c r="G9" s="19"/>
      <c r="H9" s="19"/>
      <c r="I9" s="19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20" t="s">
        <v>19</v>
      </c>
      <c r="B11" s="20"/>
      <c r="C11" s="20" t="s">
        <v>5</v>
      </c>
      <c r="D11" s="20"/>
      <c r="E11" s="1"/>
      <c r="F11" s="20" t="s">
        <v>19</v>
      </c>
      <c r="G11" s="20"/>
      <c r="H11" s="20" t="s">
        <v>5</v>
      </c>
      <c r="I11" s="20"/>
    </row>
    <row r="12" spans="1:9" x14ac:dyDescent="0.25">
      <c r="A12" s="25" t="s">
        <v>20</v>
      </c>
      <c r="B12" s="1"/>
      <c r="C12" s="3">
        <f ca="1">Prime_unique_pure(G2,C5,C6,H7)</f>
        <v>11750.341014381323</v>
      </c>
      <c r="D12" s="1"/>
      <c r="E12" s="1"/>
      <c r="F12" s="25" t="s">
        <v>24</v>
      </c>
      <c r="G12" s="1"/>
      <c r="H12" s="29">
        <f ca="1">Prime_annuelle_pure(G2,C5,C6,H7)</f>
        <v>1401.558741608354</v>
      </c>
      <c r="I12" s="1"/>
    </row>
    <row r="13" spans="1:9" x14ac:dyDescent="0.25">
      <c r="A13" s="25" t="s">
        <v>21</v>
      </c>
      <c r="B13" s="1"/>
      <c r="C13" s="3">
        <f ca="1">Prime_unique_inventaire(G2,C5,C6,H7,C8)</f>
        <v>14265.47091915376</v>
      </c>
      <c r="D13" s="1"/>
      <c r="E13" s="1"/>
      <c r="F13" s="25" t="s">
        <v>25</v>
      </c>
      <c r="G13" s="1"/>
      <c r="H13" s="29">
        <f ca="1">H12*(1-C7)/(1-C7-H6)</f>
        <v>1480.2979967548908</v>
      </c>
      <c r="I13" s="1"/>
    </row>
    <row r="14" spans="1:9" x14ac:dyDescent="0.25">
      <c r="A14" s="25" t="s">
        <v>18</v>
      </c>
      <c r="B14" s="1"/>
      <c r="C14" s="3">
        <f ca="1">C13/(1-C7)</f>
        <v>15176.032892716767</v>
      </c>
      <c r="D14" s="1"/>
      <c r="E14" s="1"/>
      <c r="F14" s="25" t="s">
        <v>26</v>
      </c>
      <c r="G14" s="1"/>
      <c r="H14" s="29">
        <f ca="1">+H12/(1-C7-H6)</f>
        <v>1574.7851029307351</v>
      </c>
      <c r="I14" s="1"/>
    </row>
    <row r="15" spans="1:9" x14ac:dyDescent="0.25">
      <c r="A15" s="14"/>
      <c r="B15" s="1"/>
      <c r="C15" s="1"/>
      <c r="D15" s="16"/>
      <c r="E15" s="1"/>
      <c r="F15" s="2"/>
      <c r="G15" s="1"/>
      <c r="H15" s="1"/>
      <c r="I15" s="1"/>
    </row>
    <row r="16" spans="1:9" x14ac:dyDescent="0.25">
      <c r="A16" s="1"/>
      <c r="B16" s="1"/>
      <c r="C16" s="16"/>
      <c r="D16" s="1"/>
      <c r="E16" s="1"/>
      <c r="F16" s="2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2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2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2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2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2"/>
      <c r="G21" s="1"/>
      <c r="H21" s="1"/>
      <c r="I21" s="1"/>
    </row>
  </sheetData>
  <mergeCells count="14">
    <mergeCell ref="A6:B6"/>
    <mergeCell ref="A11:B11"/>
    <mergeCell ref="F11:G11"/>
    <mergeCell ref="H11:I11"/>
    <mergeCell ref="A2:B2"/>
    <mergeCell ref="A3:D3"/>
    <mergeCell ref="F3:I3"/>
    <mergeCell ref="A4:B4"/>
    <mergeCell ref="A5:B5"/>
    <mergeCell ref="A7:B7"/>
    <mergeCell ref="A9:D9"/>
    <mergeCell ref="F9:I9"/>
    <mergeCell ref="C11:D11"/>
    <mergeCell ref="A8:B8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08"/>
  <sheetViews>
    <sheetView workbookViewId="0">
      <selection activeCell="F6" sqref="F6"/>
    </sheetView>
  </sheetViews>
  <sheetFormatPr baseColWidth="10" defaultRowHeight="15" x14ac:dyDescent="0.25"/>
  <cols>
    <col min="4" max="4" width="15.5703125" bestFit="1" customWidth="1"/>
    <col min="6" max="6" width="30.7109375" customWidth="1"/>
    <col min="7" max="7" width="30.7109375" style="17" customWidth="1"/>
  </cols>
  <sheetData>
    <row r="1" spans="1:6" x14ac:dyDescent="0.25">
      <c r="A1" s="10" t="s">
        <v>10</v>
      </c>
      <c r="B1" s="5" t="s">
        <v>29</v>
      </c>
      <c r="C1" s="5" t="s">
        <v>6</v>
      </c>
      <c r="D1" s="5" t="s">
        <v>7</v>
      </c>
      <c r="E1" s="5" t="s">
        <v>8</v>
      </c>
    </row>
    <row r="2" spans="1:6" x14ac:dyDescent="0.25">
      <c r="A2" s="11">
        <v>0</v>
      </c>
      <c r="B2" s="6">
        <v>1000000</v>
      </c>
      <c r="C2" s="7">
        <f>B2-B3</f>
        <v>24280</v>
      </c>
      <c r="D2" s="8">
        <f>B3/B2</f>
        <v>0.97572000000000003</v>
      </c>
      <c r="E2" s="9">
        <f>1-D2</f>
        <v>2.4279999999999968E-2</v>
      </c>
      <c r="F2" s="18"/>
    </row>
    <row r="3" spans="1:6" x14ac:dyDescent="0.25">
      <c r="A3" s="11">
        <v>1</v>
      </c>
      <c r="B3" s="6">
        <v>975720</v>
      </c>
      <c r="C3" s="7">
        <f t="shared" ref="C3:C66" si="0">B3-B4</f>
        <v>2220</v>
      </c>
      <c r="D3" s="8">
        <f t="shared" ref="D3:D66" si="1">B4/B3</f>
        <v>0.99772475710244746</v>
      </c>
      <c r="E3" s="9">
        <f t="shared" ref="E3:E66" si="2">1-D3</f>
        <v>2.2752428975525429E-3</v>
      </c>
    </row>
    <row r="4" spans="1:6" x14ac:dyDescent="0.25">
      <c r="A4" s="11">
        <v>2</v>
      </c>
      <c r="B4" s="6">
        <v>973500</v>
      </c>
      <c r="C4" s="7">
        <f>B4-B5</f>
        <v>1100</v>
      </c>
      <c r="D4" s="8">
        <f t="shared" si="1"/>
        <v>0.9988700564971752</v>
      </c>
      <c r="E4" s="9">
        <f t="shared" si="2"/>
        <v>1.1299435028248039E-3</v>
      </c>
    </row>
    <row r="5" spans="1:6" x14ac:dyDescent="0.25">
      <c r="A5" s="11">
        <v>3</v>
      </c>
      <c r="B5" s="6">
        <v>972400</v>
      </c>
      <c r="C5" s="7">
        <f t="shared" si="0"/>
        <v>750</v>
      </c>
      <c r="D5" s="8">
        <f t="shared" si="1"/>
        <v>0.99922871246400657</v>
      </c>
      <c r="E5" s="9">
        <f t="shared" si="2"/>
        <v>7.712875359934257E-4</v>
      </c>
    </row>
    <row r="6" spans="1:6" x14ac:dyDescent="0.25">
      <c r="A6" s="11">
        <v>4</v>
      </c>
      <c r="B6" s="6">
        <v>971650</v>
      </c>
      <c r="C6" s="7">
        <f t="shared" si="0"/>
        <v>610</v>
      </c>
      <c r="D6" s="8">
        <f t="shared" si="1"/>
        <v>0.99937220192456133</v>
      </c>
      <c r="E6" s="9">
        <f t="shared" si="2"/>
        <v>6.2779807543866806E-4</v>
      </c>
    </row>
    <row r="7" spans="1:6" x14ac:dyDescent="0.25">
      <c r="A7" s="11">
        <v>5</v>
      </c>
      <c r="B7" s="6">
        <v>971040</v>
      </c>
      <c r="C7" s="7">
        <f t="shared" si="0"/>
        <v>530</v>
      </c>
      <c r="D7" s="8">
        <f t="shared" si="1"/>
        <v>0.99945419344208275</v>
      </c>
      <c r="E7" s="9">
        <f t="shared" si="2"/>
        <v>5.4580655791724997E-4</v>
      </c>
    </row>
    <row r="8" spans="1:6" x14ac:dyDescent="0.25">
      <c r="A8" s="11">
        <v>6</v>
      </c>
      <c r="B8" s="6">
        <v>970510</v>
      </c>
      <c r="C8" s="7">
        <f t="shared" si="0"/>
        <v>470</v>
      </c>
      <c r="D8" s="8">
        <f t="shared" si="1"/>
        <v>0.99951571853973686</v>
      </c>
      <c r="E8" s="9">
        <f t="shared" si="2"/>
        <v>4.8428146026313623E-4</v>
      </c>
    </row>
    <row r="9" spans="1:6" x14ac:dyDescent="0.25">
      <c r="A9" s="11">
        <v>7</v>
      </c>
      <c r="B9" s="6">
        <v>970040</v>
      </c>
      <c r="C9" s="7">
        <f t="shared" si="0"/>
        <v>440</v>
      </c>
      <c r="D9" s="8">
        <f t="shared" si="1"/>
        <v>0.99954641045730075</v>
      </c>
      <c r="E9" s="9">
        <f t="shared" si="2"/>
        <v>4.5358954269925089E-4</v>
      </c>
    </row>
    <row r="10" spans="1:6" x14ac:dyDescent="0.25">
      <c r="A10" s="11">
        <v>8</v>
      </c>
      <c r="B10" s="6">
        <v>969600</v>
      </c>
      <c r="C10" s="7">
        <f t="shared" si="0"/>
        <v>410</v>
      </c>
      <c r="D10" s="8">
        <f t="shared" si="1"/>
        <v>0.99957714521452146</v>
      </c>
      <c r="E10" s="9">
        <f t="shared" si="2"/>
        <v>4.228547854785436E-4</v>
      </c>
    </row>
    <row r="11" spans="1:6" x14ac:dyDescent="0.25">
      <c r="A11" s="11">
        <v>9</v>
      </c>
      <c r="B11" s="6">
        <v>969190</v>
      </c>
      <c r="C11" s="7">
        <f t="shared" si="0"/>
        <v>390</v>
      </c>
      <c r="D11" s="8">
        <f t="shared" si="1"/>
        <v>0.99959760212135906</v>
      </c>
      <c r="E11" s="9">
        <f t="shared" si="2"/>
        <v>4.0239787864093657E-4</v>
      </c>
    </row>
    <row r="12" spans="1:6" x14ac:dyDescent="0.25">
      <c r="A12" s="11">
        <v>10</v>
      </c>
      <c r="B12" s="6">
        <v>968800</v>
      </c>
      <c r="C12" s="7">
        <f t="shared" si="0"/>
        <v>380</v>
      </c>
      <c r="D12" s="8">
        <f t="shared" si="1"/>
        <v>0.99960776218001657</v>
      </c>
      <c r="E12" s="9">
        <f t="shared" si="2"/>
        <v>3.9223781998343199E-4</v>
      </c>
    </row>
    <row r="13" spans="1:6" x14ac:dyDescent="0.25">
      <c r="A13" s="11">
        <v>11</v>
      </c>
      <c r="B13" s="6">
        <v>968420</v>
      </c>
      <c r="C13" s="7">
        <f t="shared" si="0"/>
        <v>379</v>
      </c>
      <c r="D13" s="8">
        <f t="shared" si="1"/>
        <v>0.99960864087895751</v>
      </c>
      <c r="E13" s="9">
        <f t="shared" si="2"/>
        <v>3.9135912104248938E-4</v>
      </c>
    </row>
    <row r="14" spans="1:6" x14ac:dyDescent="0.25">
      <c r="A14" s="11">
        <v>12</v>
      </c>
      <c r="B14" s="6">
        <v>968041</v>
      </c>
      <c r="C14" s="7">
        <f t="shared" si="0"/>
        <v>390</v>
      </c>
      <c r="D14" s="8">
        <f t="shared" si="1"/>
        <v>0.99959712450195803</v>
      </c>
      <c r="E14" s="9">
        <f t="shared" si="2"/>
        <v>4.0287549804196576E-4</v>
      </c>
    </row>
    <row r="15" spans="1:6" x14ac:dyDescent="0.25">
      <c r="A15" s="11">
        <v>13</v>
      </c>
      <c r="B15" s="6">
        <v>967651</v>
      </c>
      <c r="C15" s="7">
        <f t="shared" si="0"/>
        <v>430</v>
      </c>
      <c r="D15" s="8">
        <f t="shared" si="1"/>
        <v>0.99955562491022076</v>
      </c>
      <c r="E15" s="9">
        <f t="shared" si="2"/>
        <v>4.4437508977923645E-4</v>
      </c>
    </row>
    <row r="16" spans="1:6" x14ac:dyDescent="0.25">
      <c r="A16" s="11">
        <v>14</v>
      </c>
      <c r="B16" s="6">
        <v>967221</v>
      </c>
      <c r="C16" s="7">
        <f t="shared" si="0"/>
        <v>510</v>
      </c>
      <c r="D16" s="8">
        <f t="shared" si="1"/>
        <v>0.99947271616311062</v>
      </c>
      <c r="E16" s="9">
        <f t="shared" si="2"/>
        <v>5.2728383688938063E-4</v>
      </c>
    </row>
    <row r="17" spans="1:5" x14ac:dyDescent="0.25">
      <c r="A17" s="11">
        <v>15</v>
      </c>
      <c r="B17" s="6">
        <v>966711</v>
      </c>
      <c r="C17" s="7">
        <f t="shared" si="0"/>
        <v>649</v>
      </c>
      <c r="D17" s="8">
        <f t="shared" si="1"/>
        <v>0.99932865147908734</v>
      </c>
      <c r="E17" s="9">
        <f t="shared" si="2"/>
        <v>6.7134852091266239E-4</v>
      </c>
    </row>
    <row r="18" spans="1:5" x14ac:dyDescent="0.25">
      <c r="A18" s="11">
        <v>16</v>
      </c>
      <c r="B18" s="6">
        <v>966062</v>
      </c>
      <c r="C18" s="7">
        <f t="shared" si="0"/>
        <v>800</v>
      </c>
      <c r="D18" s="8">
        <f t="shared" si="1"/>
        <v>0.99917189579964849</v>
      </c>
      <c r="E18" s="9">
        <f t="shared" si="2"/>
        <v>8.2810420035150933E-4</v>
      </c>
    </row>
    <row r="19" spans="1:5" x14ac:dyDescent="0.25">
      <c r="A19" s="11">
        <v>17</v>
      </c>
      <c r="B19" s="6">
        <v>965262</v>
      </c>
      <c r="C19" s="7">
        <f t="shared" si="0"/>
        <v>970</v>
      </c>
      <c r="D19" s="8">
        <f t="shared" si="1"/>
        <v>0.99899509148811416</v>
      </c>
      <c r="E19" s="9">
        <f t="shared" si="2"/>
        <v>1.0049085118858381E-3</v>
      </c>
    </row>
    <row r="20" spans="1:5" x14ac:dyDescent="0.25">
      <c r="A20" s="11">
        <v>18</v>
      </c>
      <c r="B20" s="6">
        <v>964292</v>
      </c>
      <c r="C20" s="7">
        <f t="shared" si="0"/>
        <v>1110</v>
      </c>
      <c r="D20" s="8">
        <f t="shared" si="1"/>
        <v>0.99884889639237906</v>
      </c>
      <c r="E20" s="9">
        <f t="shared" si="2"/>
        <v>1.1511036076209402E-3</v>
      </c>
    </row>
    <row r="21" spans="1:5" x14ac:dyDescent="0.25">
      <c r="A21" s="11">
        <v>19</v>
      </c>
      <c r="B21" s="6">
        <v>963182</v>
      </c>
      <c r="C21" s="7">
        <f t="shared" si="0"/>
        <v>1221</v>
      </c>
      <c r="D21" s="8">
        <f t="shared" si="1"/>
        <v>0.99873232680843294</v>
      </c>
      <c r="E21" s="9">
        <f t="shared" si="2"/>
        <v>1.2676731915670647E-3</v>
      </c>
    </row>
    <row r="22" spans="1:5" x14ac:dyDescent="0.25">
      <c r="A22" s="11">
        <v>20</v>
      </c>
      <c r="B22" s="6">
        <v>961961</v>
      </c>
      <c r="C22" s="7">
        <f t="shared" si="0"/>
        <v>1299</v>
      </c>
      <c r="D22" s="8">
        <f t="shared" si="1"/>
        <v>0.99864963340509649</v>
      </c>
      <c r="E22" s="9">
        <f t="shared" si="2"/>
        <v>1.3503665949035071E-3</v>
      </c>
    </row>
    <row r="23" spans="1:5" x14ac:dyDescent="0.25">
      <c r="A23" s="11">
        <v>21</v>
      </c>
      <c r="B23" s="6">
        <v>960662</v>
      </c>
      <c r="C23" s="7">
        <f t="shared" si="0"/>
        <v>1370</v>
      </c>
      <c r="D23" s="8">
        <f t="shared" si="1"/>
        <v>0.99857390008140223</v>
      </c>
      <c r="E23" s="9">
        <f t="shared" si="2"/>
        <v>1.4260999185977674E-3</v>
      </c>
    </row>
    <row r="24" spans="1:5" x14ac:dyDescent="0.25">
      <c r="A24" s="11">
        <v>22</v>
      </c>
      <c r="B24" s="6">
        <v>959292</v>
      </c>
      <c r="C24" s="7">
        <f t="shared" si="0"/>
        <v>1420</v>
      </c>
      <c r="D24" s="8">
        <f t="shared" si="1"/>
        <v>0.99851974164279489</v>
      </c>
      <c r="E24" s="9">
        <f t="shared" si="2"/>
        <v>1.4802583572051109E-3</v>
      </c>
    </row>
    <row r="25" spans="1:5" x14ac:dyDescent="0.25">
      <c r="A25" s="11">
        <v>23</v>
      </c>
      <c r="B25" s="6">
        <v>957872</v>
      </c>
      <c r="C25" s="7">
        <f t="shared" si="0"/>
        <v>1470</v>
      </c>
      <c r="D25" s="8">
        <f t="shared" si="1"/>
        <v>0.99846534818848443</v>
      </c>
      <c r="E25" s="9">
        <f t="shared" si="2"/>
        <v>1.5346518115155749E-3</v>
      </c>
    </row>
    <row r="26" spans="1:5" x14ac:dyDescent="0.25">
      <c r="A26" s="11">
        <v>24</v>
      </c>
      <c r="B26" s="6">
        <v>956402</v>
      </c>
      <c r="C26" s="7">
        <f t="shared" si="0"/>
        <v>1490</v>
      </c>
      <c r="D26" s="8">
        <f t="shared" si="1"/>
        <v>0.99844207770372706</v>
      </c>
      <c r="E26" s="9">
        <f t="shared" si="2"/>
        <v>1.55792229627294E-3</v>
      </c>
    </row>
    <row r="27" spans="1:5" x14ac:dyDescent="0.25">
      <c r="A27" s="11">
        <v>25</v>
      </c>
      <c r="B27" s="6">
        <v>954912</v>
      </c>
      <c r="C27" s="7">
        <f t="shared" si="0"/>
        <v>1530</v>
      </c>
      <c r="D27" s="8">
        <f t="shared" si="1"/>
        <v>0.99839775811802556</v>
      </c>
      <c r="E27" s="9">
        <f t="shared" si="2"/>
        <v>1.6022418819744422E-3</v>
      </c>
    </row>
    <row r="28" spans="1:5" x14ac:dyDescent="0.25">
      <c r="A28" s="11">
        <v>26</v>
      </c>
      <c r="B28" s="6">
        <v>953382</v>
      </c>
      <c r="C28" s="7">
        <f t="shared" si="0"/>
        <v>1560</v>
      </c>
      <c r="D28" s="8">
        <f t="shared" si="1"/>
        <v>0.9983637198940194</v>
      </c>
      <c r="E28" s="9">
        <f t="shared" si="2"/>
        <v>1.6362801059806031E-3</v>
      </c>
    </row>
    <row r="29" spans="1:5" x14ac:dyDescent="0.25">
      <c r="A29" s="11">
        <v>27</v>
      </c>
      <c r="B29" s="6">
        <v>951822</v>
      </c>
      <c r="C29" s="7">
        <f t="shared" si="0"/>
        <v>1580</v>
      </c>
      <c r="D29" s="8">
        <f t="shared" si="1"/>
        <v>0.99834002576111924</v>
      </c>
      <c r="E29" s="9">
        <f t="shared" si="2"/>
        <v>1.659974238880757E-3</v>
      </c>
    </row>
    <row r="30" spans="1:5" x14ac:dyDescent="0.25">
      <c r="A30" s="11">
        <v>28</v>
      </c>
      <c r="B30" s="6">
        <v>950242</v>
      </c>
      <c r="C30" s="7">
        <f t="shared" si="0"/>
        <v>1606</v>
      </c>
      <c r="D30" s="8">
        <f t="shared" si="1"/>
        <v>0.99830990421387389</v>
      </c>
      <c r="E30" s="9">
        <f t="shared" si="2"/>
        <v>1.6900957861261112E-3</v>
      </c>
    </row>
    <row r="31" spans="1:5" x14ac:dyDescent="0.25">
      <c r="A31" s="11">
        <v>29</v>
      </c>
      <c r="B31" s="6">
        <v>948636</v>
      </c>
      <c r="C31" s="7">
        <f t="shared" si="0"/>
        <v>1646</v>
      </c>
      <c r="D31" s="8">
        <f t="shared" si="1"/>
        <v>0.99826487714992895</v>
      </c>
      <c r="E31" s="9">
        <f t="shared" si="2"/>
        <v>1.7351228500710469E-3</v>
      </c>
    </row>
    <row r="32" spans="1:5" x14ac:dyDescent="0.25">
      <c r="A32" s="11">
        <v>30</v>
      </c>
      <c r="B32" s="6">
        <v>946990</v>
      </c>
      <c r="C32" s="7">
        <f t="shared" si="0"/>
        <v>1729</v>
      </c>
      <c r="D32" s="8">
        <f t="shared" si="1"/>
        <v>0.99817421514482729</v>
      </c>
      <c r="E32" s="9">
        <f t="shared" si="2"/>
        <v>1.8257848551727074E-3</v>
      </c>
    </row>
    <row r="33" spans="1:5" x14ac:dyDescent="0.25">
      <c r="A33" s="11">
        <v>31</v>
      </c>
      <c r="B33" s="6">
        <v>945261</v>
      </c>
      <c r="C33" s="7">
        <f t="shared" si="0"/>
        <v>1853</v>
      </c>
      <c r="D33" s="8">
        <f t="shared" si="1"/>
        <v>0.99803969485676447</v>
      </c>
      <c r="E33" s="9">
        <f t="shared" si="2"/>
        <v>1.9603051432355301E-3</v>
      </c>
    </row>
    <row r="34" spans="1:5" x14ac:dyDescent="0.25">
      <c r="A34" s="11">
        <v>32</v>
      </c>
      <c r="B34" s="6">
        <v>943408</v>
      </c>
      <c r="C34" s="7">
        <f t="shared" si="0"/>
        <v>1989</v>
      </c>
      <c r="D34" s="8">
        <f t="shared" si="1"/>
        <v>0.99789168631175484</v>
      </c>
      <c r="E34" s="9">
        <f t="shared" si="2"/>
        <v>2.1083136882451559E-3</v>
      </c>
    </row>
    <row r="35" spans="1:5" x14ac:dyDescent="0.25">
      <c r="A35" s="11">
        <v>33</v>
      </c>
      <c r="B35" s="6">
        <v>941419</v>
      </c>
      <c r="C35" s="7">
        <f t="shared" si="0"/>
        <v>2136</v>
      </c>
      <c r="D35" s="8">
        <f t="shared" si="1"/>
        <v>0.99773108467111882</v>
      </c>
      <c r="E35" s="9">
        <f t="shared" si="2"/>
        <v>2.2689153288811825E-3</v>
      </c>
    </row>
    <row r="36" spans="1:5" x14ac:dyDescent="0.25">
      <c r="A36" s="11">
        <v>34</v>
      </c>
      <c r="B36" s="6">
        <v>939283</v>
      </c>
      <c r="C36" s="7">
        <f t="shared" si="0"/>
        <v>2297</v>
      </c>
      <c r="D36" s="8">
        <f t="shared" si="1"/>
        <v>0.99755451764803582</v>
      </c>
      <c r="E36" s="9">
        <f t="shared" si="2"/>
        <v>2.4454823519641788E-3</v>
      </c>
    </row>
    <row r="37" spans="1:5" x14ac:dyDescent="0.25">
      <c r="A37" s="11">
        <v>35</v>
      </c>
      <c r="B37" s="6">
        <v>936986</v>
      </c>
      <c r="C37" s="7">
        <f t="shared" si="0"/>
        <v>2471</v>
      </c>
      <c r="D37" s="8">
        <f t="shared" si="1"/>
        <v>0.99736282078921135</v>
      </c>
      <c r="E37" s="9">
        <f t="shared" si="2"/>
        <v>2.6371792107886538E-3</v>
      </c>
    </row>
    <row r="38" spans="1:5" x14ac:dyDescent="0.25">
      <c r="A38" s="11">
        <v>36</v>
      </c>
      <c r="B38" s="6">
        <v>934515</v>
      </c>
      <c r="C38" s="7">
        <f t="shared" si="0"/>
        <v>2662</v>
      </c>
      <c r="D38" s="8">
        <f t="shared" si="1"/>
        <v>0.99715146359341478</v>
      </c>
      <c r="E38" s="9">
        <f t="shared" si="2"/>
        <v>2.8485364065852226E-3</v>
      </c>
    </row>
    <row r="39" spans="1:5" x14ac:dyDescent="0.25">
      <c r="A39" s="11">
        <v>37</v>
      </c>
      <c r="B39" s="6">
        <v>931853</v>
      </c>
      <c r="C39" s="7">
        <f t="shared" si="0"/>
        <v>2868</v>
      </c>
      <c r="D39" s="8">
        <f t="shared" si="1"/>
        <v>0.99692226134379569</v>
      </c>
      <c r="E39" s="9">
        <f t="shared" si="2"/>
        <v>3.0777386562043096E-3</v>
      </c>
    </row>
    <row r="40" spans="1:5" x14ac:dyDescent="0.25">
      <c r="A40" s="11">
        <v>38</v>
      </c>
      <c r="B40" s="6">
        <v>928985</v>
      </c>
      <c r="C40" s="7">
        <f t="shared" si="0"/>
        <v>3093</v>
      </c>
      <c r="D40" s="8">
        <f t="shared" si="1"/>
        <v>0.9966705598045178</v>
      </c>
      <c r="E40" s="9">
        <f t="shared" si="2"/>
        <v>3.3294401954822028E-3</v>
      </c>
    </row>
    <row r="41" spans="1:5" x14ac:dyDescent="0.25">
      <c r="A41" s="11">
        <v>39</v>
      </c>
      <c r="B41" s="6">
        <v>925892</v>
      </c>
      <c r="C41" s="7">
        <f t="shared" si="0"/>
        <v>3336</v>
      </c>
      <c r="D41" s="8">
        <f t="shared" si="1"/>
        <v>0.9963969879856398</v>
      </c>
      <c r="E41" s="9">
        <f t="shared" si="2"/>
        <v>3.6030120143601962E-3</v>
      </c>
    </row>
    <row r="42" spans="1:5" x14ac:dyDescent="0.25">
      <c r="A42" s="11">
        <v>40</v>
      </c>
      <c r="B42" s="6">
        <v>922556</v>
      </c>
      <c r="C42" s="7">
        <f t="shared" si="0"/>
        <v>3601</v>
      </c>
      <c r="D42" s="8">
        <f t="shared" si="1"/>
        <v>0.99609671391221777</v>
      </c>
      <c r="E42" s="9">
        <f t="shared" si="2"/>
        <v>3.9032860877822317E-3</v>
      </c>
    </row>
    <row r="43" spans="1:5" x14ac:dyDescent="0.25">
      <c r="A43" s="11">
        <v>41</v>
      </c>
      <c r="B43" s="6">
        <v>918955</v>
      </c>
      <c r="C43" s="7">
        <f t="shared" si="0"/>
        <v>3888</v>
      </c>
      <c r="D43" s="8">
        <f t="shared" si="1"/>
        <v>0.99576910730122803</v>
      </c>
      <c r="E43" s="9">
        <f t="shared" si="2"/>
        <v>4.2308926987719708E-3</v>
      </c>
    </row>
    <row r="44" spans="1:5" x14ac:dyDescent="0.25">
      <c r="A44" s="11">
        <v>42</v>
      </c>
      <c r="B44" s="6">
        <v>915067</v>
      </c>
      <c r="C44" s="7">
        <f t="shared" si="0"/>
        <v>4199</v>
      </c>
      <c r="D44" s="8">
        <f t="shared" si="1"/>
        <v>0.99541126496748322</v>
      </c>
      <c r="E44" s="9">
        <f t="shared" si="2"/>
        <v>4.5887350325167775E-3</v>
      </c>
    </row>
    <row r="45" spans="1:5" x14ac:dyDescent="0.25">
      <c r="A45" s="11">
        <v>43</v>
      </c>
      <c r="B45" s="6">
        <v>910868</v>
      </c>
      <c r="C45" s="7">
        <f t="shared" si="0"/>
        <v>4536</v>
      </c>
      <c r="D45" s="8">
        <f t="shared" si="1"/>
        <v>0.99502013464080419</v>
      </c>
      <c r="E45" s="9">
        <f t="shared" si="2"/>
        <v>4.979865359195812E-3</v>
      </c>
    </row>
    <row r="46" spans="1:5" x14ac:dyDescent="0.25">
      <c r="A46" s="11">
        <v>44</v>
      </c>
      <c r="B46" s="6">
        <v>906332</v>
      </c>
      <c r="C46" s="7">
        <f t="shared" si="0"/>
        <v>4901</v>
      </c>
      <c r="D46" s="8">
        <f t="shared" si="1"/>
        <v>0.99459248928648658</v>
      </c>
      <c r="E46" s="9">
        <f t="shared" si="2"/>
        <v>5.4075107135134193E-3</v>
      </c>
    </row>
    <row r="47" spans="1:5" x14ac:dyDescent="0.25">
      <c r="A47" s="11">
        <v>45</v>
      </c>
      <c r="B47" s="6">
        <v>901431</v>
      </c>
      <c r="C47" s="7">
        <f t="shared" si="0"/>
        <v>5295</v>
      </c>
      <c r="D47" s="8">
        <f t="shared" si="1"/>
        <v>0.99412600631662329</v>
      </c>
      <c r="E47" s="9">
        <f t="shared" si="2"/>
        <v>5.8739936833767104E-3</v>
      </c>
    </row>
    <row r="48" spans="1:5" x14ac:dyDescent="0.25">
      <c r="A48" s="11">
        <v>46</v>
      </c>
      <c r="B48" s="6">
        <v>896136</v>
      </c>
      <c r="C48" s="7">
        <f t="shared" si="0"/>
        <v>5720</v>
      </c>
      <c r="D48" s="8">
        <f t="shared" si="1"/>
        <v>0.99361704027067321</v>
      </c>
      <c r="E48" s="9">
        <f t="shared" si="2"/>
        <v>6.382959729326787E-3</v>
      </c>
    </row>
    <row r="49" spans="1:5" x14ac:dyDescent="0.25">
      <c r="A49" s="11">
        <v>47</v>
      </c>
      <c r="B49" s="6">
        <v>890416</v>
      </c>
      <c r="C49" s="7">
        <f t="shared" si="0"/>
        <v>6182</v>
      </c>
      <c r="D49" s="8">
        <f t="shared" si="1"/>
        <v>0.99305717776859359</v>
      </c>
      <c r="E49" s="9">
        <f t="shared" si="2"/>
        <v>6.9428222314064092E-3</v>
      </c>
    </row>
    <row r="50" spans="1:5" x14ac:dyDescent="0.25">
      <c r="A50" s="11">
        <v>48</v>
      </c>
      <c r="B50" s="6">
        <v>884234</v>
      </c>
      <c r="C50" s="7">
        <f t="shared" si="0"/>
        <v>6677</v>
      </c>
      <c r="D50" s="8">
        <f t="shared" si="1"/>
        <v>0.99244883141792783</v>
      </c>
      <c r="E50" s="9">
        <f t="shared" si="2"/>
        <v>7.5511685820721652E-3</v>
      </c>
    </row>
    <row r="51" spans="1:5" x14ac:dyDescent="0.25">
      <c r="A51" s="11">
        <v>49</v>
      </c>
      <c r="B51" s="6">
        <v>877557</v>
      </c>
      <c r="C51" s="7">
        <f t="shared" si="0"/>
        <v>7210</v>
      </c>
      <c r="D51" s="8">
        <f t="shared" si="1"/>
        <v>0.99178400947174938</v>
      </c>
      <c r="E51" s="9">
        <f t="shared" si="2"/>
        <v>8.2159905282506163E-3</v>
      </c>
    </row>
    <row r="52" spans="1:5" x14ac:dyDescent="0.25">
      <c r="A52" s="11">
        <v>50</v>
      </c>
      <c r="B52" s="6">
        <v>870347</v>
      </c>
      <c r="C52" s="7">
        <f t="shared" si="0"/>
        <v>7783</v>
      </c>
      <c r="D52" s="8">
        <f t="shared" si="1"/>
        <v>0.99105758967400359</v>
      </c>
      <c r="E52" s="9">
        <f t="shared" si="2"/>
        <v>8.9424103259964083E-3</v>
      </c>
    </row>
    <row r="53" spans="1:5" x14ac:dyDescent="0.25">
      <c r="A53" s="11">
        <v>51</v>
      </c>
      <c r="B53" s="6">
        <v>862564</v>
      </c>
      <c r="C53" s="7">
        <f t="shared" si="0"/>
        <v>8398</v>
      </c>
      <c r="D53" s="8">
        <f t="shared" si="1"/>
        <v>0.99026391085183241</v>
      </c>
      <c r="E53" s="9">
        <f t="shared" si="2"/>
        <v>9.7360891481675926E-3</v>
      </c>
    </row>
    <row r="54" spans="1:5" x14ac:dyDescent="0.25">
      <c r="A54" s="11">
        <v>52</v>
      </c>
      <c r="B54" s="6">
        <v>854166</v>
      </c>
      <c r="C54" s="7">
        <f t="shared" si="0"/>
        <v>9057</v>
      </c>
      <c r="D54" s="8">
        <f t="shared" si="1"/>
        <v>0.98939667465106318</v>
      </c>
      <c r="E54" s="9">
        <f t="shared" si="2"/>
        <v>1.0603325348936821E-2</v>
      </c>
    </row>
    <row r="55" spans="1:5" x14ac:dyDescent="0.25">
      <c r="A55" s="11">
        <v>53</v>
      </c>
      <c r="B55" s="6">
        <v>845109</v>
      </c>
      <c r="C55" s="7">
        <f t="shared" si="0"/>
        <v>9761</v>
      </c>
      <c r="D55" s="8">
        <f t="shared" si="1"/>
        <v>0.98845001059034987</v>
      </c>
      <c r="E55" s="9">
        <f t="shared" si="2"/>
        <v>1.154998940965013E-2</v>
      </c>
    </row>
    <row r="56" spans="1:5" x14ac:dyDescent="0.25">
      <c r="A56" s="11">
        <v>54</v>
      </c>
      <c r="B56" s="6">
        <v>835348</v>
      </c>
      <c r="C56" s="7">
        <f t="shared" si="0"/>
        <v>10512</v>
      </c>
      <c r="D56" s="8">
        <f t="shared" si="1"/>
        <v>0.98741602302274023</v>
      </c>
      <c r="E56" s="9">
        <f t="shared" si="2"/>
        <v>1.258397697725977E-2</v>
      </c>
    </row>
    <row r="57" spans="1:5" x14ac:dyDescent="0.25">
      <c r="A57" s="11">
        <v>55</v>
      </c>
      <c r="B57" s="6">
        <v>824836</v>
      </c>
      <c r="C57" s="7">
        <f t="shared" si="0"/>
        <v>11310</v>
      </c>
      <c r="D57" s="8">
        <f t="shared" si="1"/>
        <v>0.98628818334796253</v>
      </c>
      <c r="E57" s="9">
        <f t="shared" si="2"/>
        <v>1.3711816652037467E-2</v>
      </c>
    </row>
    <row r="58" spans="1:5" x14ac:dyDescent="0.25">
      <c r="A58" s="11">
        <v>56</v>
      </c>
      <c r="B58" s="6">
        <v>813526</v>
      </c>
      <c r="C58" s="7">
        <f t="shared" si="0"/>
        <v>12158</v>
      </c>
      <c r="D58" s="8">
        <f t="shared" si="1"/>
        <v>0.98505517955172917</v>
      </c>
      <c r="E58" s="9">
        <f t="shared" si="2"/>
        <v>1.4944820448270835E-2</v>
      </c>
    </row>
    <row r="59" spans="1:5" x14ac:dyDescent="0.25">
      <c r="A59" s="11">
        <v>57</v>
      </c>
      <c r="B59" s="6">
        <v>801368</v>
      </c>
      <c r="C59" s="7">
        <f t="shared" si="0"/>
        <v>13054</v>
      </c>
      <c r="D59" s="8">
        <f t="shared" si="1"/>
        <v>0.98371035529244988</v>
      </c>
      <c r="E59" s="9">
        <f t="shared" si="2"/>
        <v>1.6289644707550122E-2</v>
      </c>
    </row>
    <row r="60" spans="1:5" x14ac:dyDescent="0.25">
      <c r="A60" s="11">
        <v>58</v>
      </c>
      <c r="B60" s="6">
        <v>788314</v>
      </c>
      <c r="C60" s="7">
        <f t="shared" si="0"/>
        <v>14000</v>
      </c>
      <c r="D60" s="8">
        <f t="shared" si="1"/>
        <v>0.98224057926156327</v>
      </c>
      <c r="E60" s="9">
        <f t="shared" si="2"/>
        <v>1.7759420738436726E-2</v>
      </c>
    </row>
    <row r="61" spans="1:5" x14ac:dyDescent="0.25">
      <c r="A61" s="11">
        <v>59</v>
      </c>
      <c r="B61" s="6">
        <v>774314</v>
      </c>
      <c r="C61" s="7">
        <f t="shared" si="0"/>
        <v>14992</v>
      </c>
      <c r="D61" s="8">
        <f t="shared" si="1"/>
        <v>0.98063834568405062</v>
      </c>
      <c r="E61" s="9">
        <f t="shared" si="2"/>
        <v>1.9361654315949384E-2</v>
      </c>
    </row>
    <row r="62" spans="1:5" x14ac:dyDescent="0.25">
      <c r="A62" s="11">
        <v>60</v>
      </c>
      <c r="B62" s="6">
        <v>759322</v>
      </c>
      <c r="C62" s="7">
        <f t="shared" si="0"/>
        <v>16029</v>
      </c>
      <c r="D62" s="8">
        <f t="shared" si="1"/>
        <v>0.97889037852189187</v>
      </c>
      <c r="E62" s="9">
        <f t="shared" si="2"/>
        <v>2.1109621478108131E-2</v>
      </c>
    </row>
    <row r="63" spans="1:5" x14ac:dyDescent="0.25">
      <c r="A63" s="11">
        <v>61</v>
      </c>
      <c r="B63" s="6">
        <v>743293</v>
      </c>
      <c r="C63" s="7">
        <f t="shared" si="0"/>
        <v>17110</v>
      </c>
      <c r="D63" s="8">
        <f t="shared" si="1"/>
        <v>0.97698081375715906</v>
      </c>
      <c r="E63" s="9">
        <f t="shared" si="2"/>
        <v>2.3019186242840939E-2</v>
      </c>
    </row>
    <row r="64" spans="1:5" x14ac:dyDescent="0.25">
      <c r="A64" s="11">
        <v>62</v>
      </c>
      <c r="B64" s="6">
        <v>726183</v>
      </c>
      <c r="C64" s="7">
        <f t="shared" si="0"/>
        <v>18227</v>
      </c>
      <c r="D64" s="8">
        <f t="shared" si="1"/>
        <v>0.97490026618634695</v>
      </c>
      <c r="E64" s="9">
        <f t="shared" si="2"/>
        <v>2.5099733813653047E-2</v>
      </c>
    </row>
    <row r="65" spans="1:5" x14ac:dyDescent="0.25">
      <c r="A65" s="11">
        <v>63</v>
      </c>
      <c r="B65" s="6">
        <v>707956</v>
      </c>
      <c r="C65" s="7">
        <f t="shared" si="0"/>
        <v>19377</v>
      </c>
      <c r="D65" s="8">
        <f t="shared" si="1"/>
        <v>0.97262965495030762</v>
      </c>
      <c r="E65" s="9">
        <f t="shared" si="2"/>
        <v>2.7370345049692379E-2</v>
      </c>
    </row>
    <row r="66" spans="1:5" x14ac:dyDescent="0.25">
      <c r="A66" s="11">
        <v>64</v>
      </c>
      <c r="B66" s="6">
        <v>688579</v>
      </c>
      <c r="C66" s="7">
        <f t="shared" si="0"/>
        <v>20552</v>
      </c>
      <c r="D66" s="8">
        <f t="shared" si="1"/>
        <v>0.97015302528831115</v>
      </c>
      <c r="E66" s="9">
        <f t="shared" si="2"/>
        <v>2.9846974711688845E-2</v>
      </c>
    </row>
    <row r="67" spans="1:5" x14ac:dyDescent="0.25">
      <c r="A67" s="11">
        <v>65</v>
      </c>
      <c r="B67" s="6">
        <v>668027</v>
      </c>
      <c r="C67" s="7">
        <f t="shared" ref="C67:C108" si="3">B67-B68</f>
        <v>21741</v>
      </c>
      <c r="D67" s="8">
        <f t="shared" ref="D67:D108" si="4">B68/B67</f>
        <v>0.96745490825969604</v>
      </c>
      <c r="E67" s="9">
        <f t="shared" ref="E67:E108" si="5">1-D67</f>
        <v>3.2545091740303955E-2</v>
      </c>
    </row>
    <row r="68" spans="1:5" x14ac:dyDescent="0.25">
      <c r="A68" s="11">
        <v>66</v>
      </c>
      <c r="B68" s="6">
        <v>646286</v>
      </c>
      <c r="C68" s="7">
        <f t="shared" si="3"/>
        <v>22934</v>
      </c>
      <c r="D68" s="8">
        <f t="shared" si="4"/>
        <v>0.96451416246058241</v>
      </c>
      <c r="E68" s="9">
        <f t="shared" si="5"/>
        <v>3.5485837539417586E-2</v>
      </c>
    </row>
    <row r="69" spans="1:5" x14ac:dyDescent="0.25">
      <c r="A69" s="11">
        <v>67</v>
      </c>
      <c r="B69" s="6">
        <v>623352</v>
      </c>
      <c r="C69" s="7">
        <f t="shared" si="3"/>
        <v>24119</v>
      </c>
      <c r="D69" s="8">
        <f t="shared" si="4"/>
        <v>0.96130757581591142</v>
      </c>
      <c r="E69" s="9">
        <f t="shared" si="5"/>
        <v>3.8692424184088581E-2</v>
      </c>
    </row>
    <row r="70" spans="1:5" x14ac:dyDescent="0.25">
      <c r="A70" s="11">
        <v>68</v>
      </c>
      <c r="B70" s="6">
        <v>599233</v>
      </c>
      <c r="C70" s="7">
        <f t="shared" si="3"/>
        <v>25278</v>
      </c>
      <c r="D70" s="8">
        <f t="shared" si="4"/>
        <v>0.95781607488239129</v>
      </c>
      <c r="E70" s="9">
        <f t="shared" si="5"/>
        <v>4.2183925117608712E-2</v>
      </c>
    </row>
    <row r="71" spans="1:5" x14ac:dyDescent="0.25">
      <c r="A71" s="11">
        <v>69</v>
      </c>
      <c r="B71" s="6">
        <v>573955</v>
      </c>
      <c r="C71" s="7">
        <f t="shared" si="3"/>
        <v>26393</v>
      </c>
      <c r="D71" s="8">
        <f t="shared" si="4"/>
        <v>0.95401555871104882</v>
      </c>
      <c r="E71" s="9">
        <f t="shared" si="5"/>
        <v>4.5984441288951183E-2</v>
      </c>
    </row>
    <row r="72" spans="1:5" x14ac:dyDescent="0.25">
      <c r="A72" s="11">
        <v>70</v>
      </c>
      <c r="B72" s="6">
        <v>547562</v>
      </c>
      <c r="C72" s="7">
        <f t="shared" si="3"/>
        <v>27446</v>
      </c>
      <c r="D72" s="8">
        <f t="shared" si="4"/>
        <v>0.94987599577764714</v>
      </c>
      <c r="E72" s="9">
        <f t="shared" si="5"/>
        <v>5.0124004222352858E-2</v>
      </c>
    </row>
    <row r="73" spans="1:5" x14ac:dyDescent="0.25">
      <c r="A73" s="11">
        <v>71</v>
      </c>
      <c r="B73" s="6">
        <v>520116</v>
      </c>
      <c r="C73" s="7">
        <f t="shared" si="3"/>
        <v>28412</v>
      </c>
      <c r="D73" s="8">
        <f t="shared" si="4"/>
        <v>0.94537372432303568</v>
      </c>
      <c r="E73" s="9">
        <f t="shared" si="5"/>
        <v>5.462627567696432E-2</v>
      </c>
    </row>
    <row r="74" spans="1:5" x14ac:dyDescent="0.25">
      <c r="A74" s="11">
        <v>72</v>
      </c>
      <c r="B74" s="6">
        <v>491704</v>
      </c>
      <c r="C74" s="7">
        <f t="shared" si="3"/>
        <v>29269</v>
      </c>
      <c r="D74" s="8">
        <f t="shared" si="4"/>
        <v>0.94047435042220517</v>
      </c>
      <c r="E74" s="9">
        <f t="shared" si="5"/>
        <v>5.9525649577794826E-2</v>
      </c>
    </row>
    <row r="75" spans="1:5" x14ac:dyDescent="0.25">
      <c r="A75" s="11">
        <v>73</v>
      </c>
      <c r="B75" s="6">
        <v>462435</v>
      </c>
      <c r="C75" s="7">
        <f t="shared" si="3"/>
        <v>29989</v>
      </c>
      <c r="D75" s="8">
        <f t="shared" si="4"/>
        <v>0.93514980483743659</v>
      </c>
      <c r="E75" s="9">
        <f t="shared" si="5"/>
        <v>6.4850195162563407E-2</v>
      </c>
    </row>
    <row r="76" spans="1:5" x14ac:dyDescent="0.25">
      <c r="A76" s="11">
        <v>74</v>
      </c>
      <c r="B76" s="6">
        <v>432446</v>
      </c>
      <c r="C76" s="7">
        <f t="shared" si="3"/>
        <v>30547</v>
      </c>
      <c r="D76" s="8">
        <f t="shared" si="4"/>
        <v>0.92936227875850397</v>
      </c>
      <c r="E76" s="9">
        <f t="shared" si="5"/>
        <v>7.0637721241496032E-2</v>
      </c>
    </row>
    <row r="77" spans="1:5" x14ac:dyDescent="0.25">
      <c r="A77" s="11">
        <v>75</v>
      </c>
      <c r="B77" s="6">
        <v>401899</v>
      </c>
      <c r="C77" s="7">
        <f t="shared" si="3"/>
        <v>30914</v>
      </c>
      <c r="D77" s="8">
        <f t="shared" si="4"/>
        <v>0.92308017686035548</v>
      </c>
      <c r="E77" s="9">
        <f t="shared" si="5"/>
        <v>7.6919823139644516E-2</v>
      </c>
    </row>
    <row r="78" spans="1:5" x14ac:dyDescent="0.25">
      <c r="A78" s="11">
        <v>76</v>
      </c>
      <c r="B78" s="6">
        <v>370985</v>
      </c>
      <c r="C78" s="7">
        <f t="shared" si="3"/>
        <v>31067</v>
      </c>
      <c r="D78" s="8">
        <f t="shared" si="4"/>
        <v>0.91625806973327761</v>
      </c>
      <c r="E78" s="9">
        <f t="shared" si="5"/>
        <v>8.3741930266722386E-2</v>
      </c>
    </row>
    <row r="79" spans="1:5" x14ac:dyDescent="0.25">
      <c r="A79" s="11">
        <v>77</v>
      </c>
      <c r="B79" s="6">
        <v>339918</v>
      </c>
      <c r="C79" s="7">
        <f t="shared" si="3"/>
        <v>30980</v>
      </c>
      <c r="D79" s="8">
        <f t="shared" si="4"/>
        <v>0.90886037220741478</v>
      </c>
      <c r="E79" s="9">
        <f t="shared" si="5"/>
        <v>9.1139627792585221E-2</v>
      </c>
    </row>
    <row r="80" spans="1:5" x14ac:dyDescent="0.25">
      <c r="A80" s="11">
        <v>78</v>
      </c>
      <c r="B80" s="6">
        <v>308938</v>
      </c>
      <c r="C80" s="7">
        <f t="shared" si="3"/>
        <v>30633</v>
      </c>
      <c r="D80" s="8">
        <f t="shared" si="4"/>
        <v>0.90084418232784569</v>
      </c>
      <c r="E80" s="9">
        <f t="shared" si="5"/>
        <v>9.9155817672154312E-2</v>
      </c>
    </row>
    <row r="81" spans="1:5" x14ac:dyDescent="0.25">
      <c r="A81" s="11">
        <v>79</v>
      </c>
      <c r="B81" s="6">
        <v>278305</v>
      </c>
      <c r="C81" s="7">
        <f t="shared" si="3"/>
        <v>30013</v>
      </c>
      <c r="D81" s="8">
        <f t="shared" si="4"/>
        <v>0.89215788433553112</v>
      </c>
      <c r="E81" s="9">
        <f t="shared" si="5"/>
        <v>0.10784211566446888</v>
      </c>
    </row>
    <row r="82" spans="1:5" x14ac:dyDescent="0.25">
      <c r="A82" s="11">
        <v>80</v>
      </c>
      <c r="B82" s="6">
        <v>248292</v>
      </c>
      <c r="C82" s="7">
        <f t="shared" si="3"/>
        <v>29110</v>
      </c>
      <c r="D82" s="8">
        <f t="shared" si="4"/>
        <v>0.88275900955326791</v>
      </c>
      <c r="E82" s="9">
        <f t="shared" si="5"/>
        <v>0.11724099044673209</v>
      </c>
    </row>
    <row r="83" spans="1:5" x14ac:dyDescent="0.25">
      <c r="A83" s="11">
        <v>81</v>
      </c>
      <c r="B83" s="6">
        <v>219182</v>
      </c>
      <c r="C83" s="7">
        <f t="shared" si="3"/>
        <v>27923</v>
      </c>
      <c r="D83" s="8">
        <f t="shared" si="4"/>
        <v>0.87260358971083396</v>
      </c>
      <c r="E83" s="9">
        <f t="shared" si="5"/>
        <v>0.12739641028916604</v>
      </c>
    </row>
    <row r="84" spans="1:5" x14ac:dyDescent="0.25">
      <c r="A84" s="11">
        <v>82</v>
      </c>
      <c r="B84" s="6">
        <v>191259</v>
      </c>
      <c r="C84" s="7">
        <f t="shared" si="3"/>
        <v>26464</v>
      </c>
      <c r="D84" s="8">
        <f t="shared" si="4"/>
        <v>0.86163265519531107</v>
      </c>
      <c r="E84" s="9">
        <f t="shared" si="5"/>
        <v>0.13836734480468893</v>
      </c>
    </row>
    <row r="85" spans="1:5" x14ac:dyDescent="0.25">
      <c r="A85" s="11">
        <v>83</v>
      </c>
      <c r="B85" s="6">
        <v>164795</v>
      </c>
      <c r="C85" s="7">
        <f t="shared" si="3"/>
        <v>24752</v>
      </c>
      <c r="D85" s="8">
        <f t="shared" si="4"/>
        <v>0.84980126824236168</v>
      </c>
      <c r="E85" s="9">
        <f t="shared" si="5"/>
        <v>0.15019873175763832</v>
      </c>
    </row>
    <row r="86" spans="1:5" x14ac:dyDescent="0.25">
      <c r="A86" s="11">
        <v>84</v>
      </c>
      <c r="B86" s="6">
        <v>140043</v>
      </c>
      <c r="C86" s="7">
        <f t="shared" si="3"/>
        <v>22820</v>
      </c>
      <c r="D86" s="8">
        <f t="shared" si="4"/>
        <v>0.83705004891354795</v>
      </c>
      <c r="E86" s="9">
        <f t="shared" si="5"/>
        <v>0.16294995108645205</v>
      </c>
    </row>
    <row r="87" spans="1:5" x14ac:dyDescent="0.25">
      <c r="A87" s="11">
        <v>85</v>
      </c>
      <c r="B87" s="6">
        <v>117223</v>
      </c>
      <c r="C87" s="7">
        <f t="shared" si="3"/>
        <v>20710</v>
      </c>
      <c r="D87" s="8">
        <f t="shared" si="4"/>
        <v>0.82332818644805206</v>
      </c>
      <c r="E87" s="9">
        <f t="shared" si="5"/>
        <v>0.17667181355194794</v>
      </c>
    </row>
    <row r="88" spans="1:5" x14ac:dyDescent="0.25">
      <c r="A88" s="11">
        <v>86</v>
      </c>
      <c r="B88" s="6">
        <v>96513</v>
      </c>
      <c r="C88" s="7">
        <f t="shared" si="3"/>
        <v>18473</v>
      </c>
      <c r="D88" s="8">
        <f t="shared" si="4"/>
        <v>0.80859573321728684</v>
      </c>
      <c r="E88" s="9">
        <f t="shared" si="5"/>
        <v>0.19140426678271316</v>
      </c>
    </row>
    <row r="89" spans="1:5" x14ac:dyDescent="0.25">
      <c r="A89" s="11">
        <v>87</v>
      </c>
      <c r="B89" s="6">
        <v>78040</v>
      </c>
      <c r="C89" s="7">
        <f t="shared" si="3"/>
        <v>16171</v>
      </c>
      <c r="D89" s="8">
        <f t="shared" si="4"/>
        <v>0.79278575089697589</v>
      </c>
      <c r="E89" s="9">
        <f t="shared" si="5"/>
        <v>0.20721424910302411</v>
      </c>
    </row>
    <row r="90" spans="1:5" x14ac:dyDescent="0.25">
      <c r="A90" s="11">
        <v>88</v>
      </c>
      <c r="B90" s="6">
        <v>61869</v>
      </c>
      <c r="C90" s="7">
        <f t="shared" si="3"/>
        <v>13867</v>
      </c>
      <c r="D90" s="8">
        <f t="shared" si="4"/>
        <v>0.77586513439687077</v>
      </c>
      <c r="E90" s="9">
        <f t="shared" si="5"/>
        <v>0.22413486560312923</v>
      </c>
    </row>
    <row r="91" spans="1:5" x14ac:dyDescent="0.25">
      <c r="A91" s="11">
        <v>89</v>
      </c>
      <c r="B91" s="6">
        <v>48002</v>
      </c>
      <c r="C91" s="7">
        <f t="shared" si="3"/>
        <v>11628</v>
      </c>
      <c r="D91" s="8">
        <f t="shared" si="4"/>
        <v>0.75776009332944461</v>
      </c>
      <c r="E91" s="9">
        <f t="shared" si="5"/>
        <v>0.24223990667055539</v>
      </c>
    </row>
    <row r="92" spans="1:5" x14ac:dyDescent="0.25">
      <c r="A92" s="11">
        <v>90</v>
      </c>
      <c r="B92" s="6">
        <v>36374</v>
      </c>
      <c r="C92" s="7">
        <f t="shared" si="3"/>
        <v>9513</v>
      </c>
      <c r="D92" s="8">
        <f t="shared" si="4"/>
        <v>0.73846703689448512</v>
      </c>
      <c r="E92" s="9">
        <f t="shared" si="5"/>
        <v>0.26153296310551488</v>
      </c>
    </row>
    <row r="93" spans="1:5" x14ac:dyDescent="0.25">
      <c r="A93" s="11">
        <v>91</v>
      </c>
      <c r="B93" s="6">
        <v>26861</v>
      </c>
      <c r="C93" s="7">
        <f t="shared" si="3"/>
        <v>7576</v>
      </c>
      <c r="D93" s="8">
        <f t="shared" si="4"/>
        <v>0.71795540002233726</v>
      </c>
      <c r="E93" s="9">
        <f t="shared" si="5"/>
        <v>0.28204459997766274</v>
      </c>
    </row>
    <row r="94" spans="1:5" x14ac:dyDescent="0.25">
      <c r="A94" s="11">
        <v>92</v>
      </c>
      <c r="B94" s="6">
        <v>19285</v>
      </c>
      <c r="C94" s="7">
        <f t="shared" si="3"/>
        <v>5859</v>
      </c>
      <c r="D94" s="8">
        <f t="shared" si="4"/>
        <v>0.69618874773139749</v>
      </c>
      <c r="E94" s="9">
        <f t="shared" si="5"/>
        <v>0.30381125226860251</v>
      </c>
    </row>
    <row r="95" spans="1:5" x14ac:dyDescent="0.25">
      <c r="A95" s="11">
        <v>93</v>
      </c>
      <c r="B95" s="6">
        <v>13426</v>
      </c>
      <c r="C95" s="7">
        <f t="shared" si="3"/>
        <v>4389</v>
      </c>
      <c r="D95" s="8">
        <f t="shared" si="4"/>
        <v>0.67309697601668406</v>
      </c>
      <c r="E95" s="9">
        <f t="shared" si="5"/>
        <v>0.32690302398331594</v>
      </c>
    </row>
    <row r="96" spans="1:5" x14ac:dyDescent="0.25">
      <c r="A96" s="11">
        <v>94</v>
      </c>
      <c r="B96" s="6">
        <v>9037</v>
      </c>
      <c r="C96" s="7">
        <f t="shared" si="3"/>
        <v>3174</v>
      </c>
      <c r="D96" s="8">
        <f t="shared" si="4"/>
        <v>0.64877724908708645</v>
      </c>
      <c r="E96" s="9">
        <f t="shared" si="5"/>
        <v>0.35122275091291355</v>
      </c>
    </row>
    <row r="97" spans="1:5" x14ac:dyDescent="0.25">
      <c r="A97" s="11">
        <v>95</v>
      </c>
      <c r="B97" s="6">
        <v>5863</v>
      </c>
      <c r="C97" s="7">
        <f t="shared" si="3"/>
        <v>2209</v>
      </c>
      <c r="D97" s="8">
        <f t="shared" si="4"/>
        <v>0.62323042810847684</v>
      </c>
      <c r="E97" s="9">
        <f t="shared" si="5"/>
        <v>0.37676957189152316</v>
      </c>
    </row>
    <row r="98" spans="1:5" x14ac:dyDescent="0.25">
      <c r="A98" s="11">
        <v>96</v>
      </c>
      <c r="B98" s="6">
        <v>3654</v>
      </c>
      <c r="C98" s="7">
        <f t="shared" si="3"/>
        <v>1475</v>
      </c>
      <c r="D98" s="8">
        <f t="shared" si="4"/>
        <v>0.59633278598795836</v>
      </c>
      <c r="E98" s="9">
        <f t="shared" si="5"/>
        <v>0.40366721401204164</v>
      </c>
    </row>
    <row r="99" spans="1:5" x14ac:dyDescent="0.25">
      <c r="A99" s="11">
        <v>97</v>
      </c>
      <c r="B99" s="6">
        <v>2179</v>
      </c>
      <c r="C99" s="7">
        <f t="shared" si="3"/>
        <v>941</v>
      </c>
      <c r="D99" s="8">
        <f t="shared" si="4"/>
        <v>0.56815052776502983</v>
      </c>
      <c r="E99" s="9">
        <f t="shared" si="5"/>
        <v>0.43184947223497017</v>
      </c>
    </row>
    <row r="100" spans="1:5" x14ac:dyDescent="0.25">
      <c r="A100" s="11">
        <v>98</v>
      </c>
      <c r="B100" s="6">
        <v>1238</v>
      </c>
      <c r="C100" s="7">
        <f t="shared" si="3"/>
        <v>570</v>
      </c>
      <c r="D100" s="8">
        <f t="shared" si="4"/>
        <v>0.5395799676898223</v>
      </c>
      <c r="E100" s="9">
        <f t="shared" si="5"/>
        <v>0.4604200323101777</v>
      </c>
    </row>
    <row r="101" spans="1:5" x14ac:dyDescent="0.25">
      <c r="A101" s="11">
        <v>99</v>
      </c>
      <c r="B101" s="6">
        <v>668</v>
      </c>
      <c r="C101" s="7">
        <f t="shared" si="3"/>
        <v>328</v>
      </c>
      <c r="D101" s="8">
        <f t="shared" si="4"/>
        <v>0.50898203592814373</v>
      </c>
      <c r="E101" s="9">
        <f t="shared" si="5"/>
        <v>0.49101796407185627</v>
      </c>
    </row>
    <row r="102" spans="1:5" x14ac:dyDescent="0.25">
      <c r="A102" s="11">
        <v>100</v>
      </c>
      <c r="B102" s="6">
        <v>340</v>
      </c>
      <c r="C102" s="7">
        <f t="shared" si="3"/>
        <v>177</v>
      </c>
      <c r="D102" s="8">
        <f t="shared" si="4"/>
        <v>0.47941176470588237</v>
      </c>
      <c r="E102" s="9">
        <f t="shared" si="5"/>
        <v>0.52058823529411757</v>
      </c>
    </row>
    <row r="103" spans="1:5" x14ac:dyDescent="0.25">
      <c r="A103" s="11">
        <v>101</v>
      </c>
      <c r="B103" s="6">
        <v>163</v>
      </c>
      <c r="C103" s="7">
        <f t="shared" si="3"/>
        <v>90</v>
      </c>
      <c r="D103" s="8">
        <f t="shared" si="4"/>
        <v>0.44785276073619634</v>
      </c>
      <c r="E103" s="9">
        <f t="shared" si="5"/>
        <v>0.5521472392638036</v>
      </c>
    </row>
    <row r="104" spans="1:5" x14ac:dyDescent="0.25">
      <c r="A104" s="11">
        <v>102</v>
      </c>
      <c r="B104" s="6">
        <v>73</v>
      </c>
      <c r="C104" s="7">
        <f t="shared" si="3"/>
        <v>43</v>
      </c>
      <c r="D104" s="8">
        <f t="shared" si="4"/>
        <v>0.41095890410958902</v>
      </c>
      <c r="E104" s="9">
        <f t="shared" si="5"/>
        <v>0.58904109589041098</v>
      </c>
    </row>
    <row r="105" spans="1:5" x14ac:dyDescent="0.25">
      <c r="A105" s="11">
        <v>103</v>
      </c>
      <c r="B105" s="6">
        <v>30</v>
      </c>
      <c r="C105" s="7">
        <f t="shared" si="3"/>
        <v>19</v>
      </c>
      <c r="D105" s="8">
        <f t="shared" si="4"/>
        <v>0.36666666666666664</v>
      </c>
      <c r="E105" s="9">
        <f t="shared" si="5"/>
        <v>0.6333333333333333</v>
      </c>
    </row>
    <row r="106" spans="1:5" x14ac:dyDescent="0.25">
      <c r="A106" s="11">
        <v>104</v>
      </c>
      <c r="B106" s="6">
        <v>11</v>
      </c>
      <c r="C106" s="7">
        <f t="shared" si="3"/>
        <v>7</v>
      </c>
      <c r="D106" s="8">
        <f t="shared" si="4"/>
        <v>0.36363636363636365</v>
      </c>
      <c r="E106" s="9">
        <f t="shared" si="5"/>
        <v>0.63636363636363635</v>
      </c>
    </row>
    <row r="107" spans="1:5" x14ac:dyDescent="0.25">
      <c r="A107" s="11">
        <v>105</v>
      </c>
      <c r="B107" s="6">
        <v>4</v>
      </c>
      <c r="C107" s="7">
        <f t="shared" si="3"/>
        <v>3</v>
      </c>
      <c r="D107" s="8">
        <f t="shared" si="4"/>
        <v>0.25</v>
      </c>
      <c r="E107" s="9">
        <f t="shared" si="5"/>
        <v>0.75</v>
      </c>
    </row>
    <row r="108" spans="1:5" x14ac:dyDescent="0.25">
      <c r="A108" s="11">
        <v>105</v>
      </c>
      <c r="B108">
        <v>1</v>
      </c>
      <c r="C108" s="7">
        <f t="shared" si="3"/>
        <v>1</v>
      </c>
      <c r="D108" s="8">
        <f t="shared" si="4"/>
        <v>0</v>
      </c>
      <c r="E108" s="9">
        <f t="shared" si="5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4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TD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bc</dc:creator>
  <cp:lastModifiedBy>bc</cp:lastModifiedBy>
  <dcterms:created xsi:type="dcterms:W3CDTF">2023-01-04T15:12:19Z</dcterms:created>
  <dcterms:modified xsi:type="dcterms:W3CDTF">2023-01-07T12:35:29Z</dcterms:modified>
</cp:coreProperties>
</file>